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upshe\Doubao\chats\2026-08-17\new-chat\"/>
    </mc:Choice>
  </mc:AlternateContent>
  <bookViews>
    <workbookView windowWidth="23040" windowHeight="10455"/>
  </bookViews>
  <sheets>
    <sheet name="离职决策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<sst xmlns="http://schemas.openxmlformats.org/spreadsheetml/2006/main" count="79" uniqueCount="63">
  <si>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离职决策评估表</t>
  </si>
  <si>
    <t>填写说明：每题按实际情况打 1-5 分（1=完全不符合/情况很好，5=完全符合/情况很差），填完 D 列分数后自动计算总分。</t>
  </si>
  <si>
    <t>题号</t>
  </si>
  <si>
    <t>评估维度</t>
  </si>
  <si>
    <t>评估题目</t>
  </si>
  <si>
    <t>你的评分(1-5)</t>
  </si>
  <si>
    <t>评分参考标准</t>
  </si>
  <si>
    <t>健康与情绪</t>
  </si>
  <si>
    <t>工作对我的睡眠或身体健康造成了明显负面影响</t>
  </si>
  <si>
    <t>1=毫无影响  3=偶尔影响  5=严重失眠/躯体化</t>
  </si>
  <si>
    <t>我长期处于焦虑、压抑或抑郁的情绪状态</t>
  </si>
  <si>
    <t>1=情绪稳定  3=时常焦虑  5=长期情绪低落</t>
  </si>
  <si>
    <t>周末或下班后我无法真正放松，总被工作牵动</t>
  </si>
  <si>
    <t>1=完全能放松  3=偶尔想到工作  5=时刻紧绷</t>
  </si>
  <si>
    <t>成长与发展</t>
  </si>
  <si>
    <t>我在当前岗位已经学不到新东西，工作全是重复</t>
  </si>
  <si>
    <t>1=持续成长  3=成长放缓  5=完全停滞</t>
  </si>
  <si>
    <t>内部晋升或转岗到目标方向的机会基本无望</t>
  </si>
  <si>
    <t>1=机会明确  3=不确定  5=完全无望</t>
  </si>
  <si>
    <t>我的技能在就业市场上的竞争力正在贬值</t>
  </si>
  <si>
    <t>1=在提升  3=持平  5=明显落后市场</t>
  </si>
  <si>
    <t>回报与公平</t>
  </si>
  <si>
    <t>我的薪资明显低于市场同岗位水平</t>
  </si>
  <si>
    <t>1=高于市场  3=基本持平  5=明显偏低</t>
  </si>
  <si>
    <t>我的付出和回报（薪资/晋升/认可）严重不匹配</t>
  </si>
  <si>
    <t>1=匹配  3=略有差距  5=严重不匹配</t>
  </si>
  <si>
    <t>公司的绩效评价或晋升机制让我感到不公平</t>
  </si>
  <si>
    <t>1=公平透明  3=有瑕疵  5=严重不公</t>
  </si>
  <si>
    <t>公司与团队</t>
  </si>
  <si>
    <t>公司业务前景不明，持续收缩或频繁动荡</t>
  </si>
  <si>
    <t>1=向好发展  3=有不确定性  5=持续恶化</t>
  </si>
  <si>
    <t>团队核心人员批量流失，稳定性很差</t>
  </si>
  <si>
    <t>1=稳定  3=有人离开  5=批量流失</t>
  </si>
  <si>
    <t>我和直接领导的关系让我长期内耗</t>
  </si>
  <si>
    <t>1=关系良好  3=一般  5=严重内耗</t>
  </si>
  <si>
    <t>价值观与意义</t>
  </si>
  <si>
    <t>公司的某些做法触及了我的价值观底线</t>
  </si>
  <si>
    <t>1=完全没有  3=偶尔不适  5=经常触及</t>
  </si>
  <si>
    <t>我觉得当前的工作内容毫无意义感</t>
  </si>
  <si>
    <t>1=很有意义  3=意义一般  5=毫无意义</t>
  </si>
  <si>
    <t>—— 各维度得分（自动计算）——</t>
  </si>
  <si>
    <t>维度</t>
  </si>
  <si>
    <t>权重</t>
  </si>
  <si>
    <t>平均分(1-5)</t>
  </si>
  <si>
    <t>加权得分</t>
  </si>
  <si>
    <t>维度评价</t>
  </si>
  <si>
    <t>25%</t>
  </si>
  <si>
    <t>20%</t>
  </si>
  <si>
    <t>15%</t>
  </si>
  <si>
    <t>综合得分（满分100）</t>
  </si>
  <si>
    <t>评分区间解读</t>
  </si>
  <si>
    <t>0 - 40 分</t>
  </si>
  <si>
    <t>暂不建议离职</t>
  </si>
  <si>
    <t>当前工作整体可接受，问题是局部的、可解决的</t>
  </si>
  <si>
    <t>41 - 60 分</t>
  </si>
  <si>
    <t>观察期</t>
  </si>
  <si>
    <t>有不满情绪，但尚未到必须走的程度，先尝试内部沟通、换组、调整心态</t>
  </si>
  <si>
    <t>61 - 80 分</t>
  </si>
  <si>
    <t>准备期</t>
  </si>
  <si>
    <t>多个维度出现明显问题，建议开始更新简历、看机会、存缓冲金</t>
  </si>
  <si>
    <t>81 - 100 分</t>
  </si>
  <si>
    <t>行动期</t>
  </si>
  <si>
    <t>当前环境对你的伤害已大于收益，建议尽快推进离职，优先考虑健康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</si>
</sst>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3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i/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color rgb="FF2F5496"/>
      <name val="微软雅黑"/>
      <charset val="134"/>
    </font>
    <font>
      <b/>
      <sz val="11"/>
      <color rgb="FFC00000"/>
      <name val="微软雅黑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b/>
      <sz val="12"/>
      <color rgb="FFFFFFFF"/>
      <name val="微软雅黑"/>
      <charset val="134"/>
    </font>
    <font>
      <b/>
      <sz val="14"/>
      <color rgb="FFC00000"/>
      <name val="微软雅黑"/>
      <charset val="134"/>
    </font>
    <font>
      <b/>
      <sz val="10"/>
      <color rgb="FFC0000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pane ySplit="3" topLeftCell="A4" activePane="bottomLeft" state="frozen"/>
      <selection/>
      <selection pane="bottomLeft" activeCell="D33" sqref="A1:E33"/>
    </sheetView>
  </sheetViews>
  <sheetFormatPr defaultColWidth="9" defaultRowHeight="13.5" outlineLevelCol="4"/>
  <cols>
    <col min="1" max="1" width="6" customWidth="1"/>
    <col min="2" max="2" width="14" customWidth="1"/>
    <col min="3" max="3" width="50" customWidth="1"/>
    <col min="4" max="4" width="12" customWidth="1"/>
    <col min="5" max="5" width="30" customWidth="1"/>
  </cols>
  <sheetData>
    <row r="1" ht="36" customHeight="1" spans="1:5">
      <c r="A1" s="1" t="s">
        <v>0</v>
      </c>
    </row>
    <row r="2" ht="30" customHeight="1" spans="1:5">
      <c r="A2" s="2" t="s">
        <v>1</v>
      </c>
    </row>
    <row r="3" ht="28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32" customHeight="1" spans="1:5">
      <c r="A4" s="4">
        <v>1</v>
      </c>
      <c r="B4" s="5" t="s">
        <v>7</v>
      </c>
      <c r="C4" s="6" t="s">
        <v>8</v>
      </c>
      <c r="D4" s="7">
        <v>1</v>
      </c>
      <c r="E4" s="8" t="s">
        <v>9</v>
      </c>
    </row>
    <row r="5" ht="32" customHeight="1" spans="1:5">
      <c r="A5" s="4">
        <v>2</v>
      </c>
      <c r="B5" s="5" t="s">
        <v>7</v>
      </c>
      <c r="C5" s="6" t="s">
        <v>10</v>
      </c>
      <c r="D5" s="7">
        <v>1</v>
      </c>
      <c r="E5" s="8" t="s">
        <v>11</v>
      </c>
    </row>
    <row r="6" ht="32" customHeight="1" spans="1:5">
      <c r="A6" s="4">
        <v>3</v>
      </c>
      <c r="B6" s="5" t="s">
        <v>7</v>
      </c>
      <c r="C6" s="6" t="s">
        <v>12</v>
      </c>
      <c r="D6" s="7">
        <v>1</v>
      </c>
      <c r="E6" s="8" t="s">
        <v>13</v>
      </c>
    </row>
    <row r="7" ht="32" customHeight="1" spans="1:5">
      <c r="A7" s="4">
        <v>4</v>
      </c>
      <c r="B7" s="5" t="s">
        <v>14</v>
      </c>
      <c r="C7" s="6" t="s">
        <v>15</v>
      </c>
      <c r="D7" s="7">
        <v>5</v>
      </c>
      <c r="E7" s="8" t="s">
        <v>16</v>
      </c>
    </row>
    <row r="8" ht="32" customHeight="1" spans="1:5">
      <c r="A8" s="4">
        <v>5</v>
      </c>
      <c r="B8" s="5" t="s">
        <v>14</v>
      </c>
      <c r="C8" s="6" t="s">
        <v>17</v>
      </c>
      <c r="D8" s="7">
        <v>5</v>
      </c>
      <c r="E8" s="8" t="s">
        <v>18</v>
      </c>
    </row>
    <row r="9" ht="32" customHeight="1" spans="1:5">
      <c r="A9" s="4">
        <v>6</v>
      </c>
      <c r="B9" s="5" t="s">
        <v>14</v>
      </c>
      <c r="C9" s="6" t="s">
        <v>19</v>
      </c>
      <c r="D9" s="7">
        <v>4</v>
      </c>
      <c r="E9" s="8" t="s">
        <v>20</v>
      </c>
    </row>
    <row r="10" ht="32" customHeight="1" spans="1:5">
      <c r="A10" s="4">
        <v>7</v>
      </c>
      <c r="B10" s="5" t="s">
        <v>21</v>
      </c>
      <c r="C10" s="6" t="s">
        <v>22</v>
      </c>
      <c r="D10" s="7">
        <v>5</v>
      </c>
      <c r="E10" s="8" t="s">
        <v>23</v>
      </c>
    </row>
    <row r="11" ht="32" customHeight="1" spans="1:5">
      <c r="A11" s="4">
        <v>8</v>
      </c>
      <c r="B11" s="5" t="s">
        <v>21</v>
      </c>
      <c r="C11" s="6" t="s">
        <v>24</v>
      </c>
      <c r="D11" s="7">
        <v>3</v>
      </c>
      <c r="E11" s="8" t="s">
        <v>25</v>
      </c>
    </row>
    <row r="12" ht="32" customHeight="1" spans="1:5">
      <c r="A12" s="4">
        <v>9</v>
      </c>
      <c r="B12" s="5" t="s">
        <v>21</v>
      </c>
      <c r="C12" s="6" t="s">
        <v>26</v>
      </c>
      <c r="D12" s="7">
        <v>3</v>
      </c>
      <c r="E12" s="8" t="s">
        <v>27</v>
      </c>
    </row>
    <row r="13" ht="32" customHeight="1" spans="1:5">
      <c r="A13" s="4">
        <v>10</v>
      </c>
      <c r="B13" s="5" t="s">
        <v>28</v>
      </c>
      <c r="C13" s="6" t="s">
        <v>29</v>
      </c>
      <c r="D13" s="7">
        <v>5</v>
      </c>
      <c r="E13" s="8" t="s">
        <v>30</v>
      </c>
    </row>
    <row r="14" ht="32" customHeight="1" spans="1:5">
      <c r="A14" s="4">
        <v>11</v>
      </c>
      <c r="B14" s="5" t="s">
        <v>28</v>
      </c>
      <c r="C14" s="6" t="s">
        <v>31</v>
      </c>
      <c r="D14" s="7">
        <v>4</v>
      </c>
      <c r="E14" s="8" t="s">
        <v>32</v>
      </c>
    </row>
    <row r="15" ht="32" customHeight="1" spans="1:5">
      <c r="A15" s="4">
        <v>12</v>
      </c>
      <c r="B15" s="5" t="s">
        <v>28</v>
      </c>
      <c r="C15" s="6" t="s">
        <v>33</v>
      </c>
      <c r="D15" s="7">
        <v>3</v>
      </c>
      <c r="E15" s="8" t="s">
        <v>34</v>
      </c>
    </row>
    <row r="16" ht="32" customHeight="1" spans="1:5">
      <c r="A16" s="4">
        <v>13</v>
      </c>
      <c r="B16" s="5" t="s">
        <v>35</v>
      </c>
      <c r="C16" s="6" t="s">
        <v>36</v>
      </c>
      <c r="D16" s="7">
        <v>3</v>
      </c>
      <c r="E16" s="8" t="s">
        <v>37</v>
      </c>
    </row>
    <row r="17" ht="32" customHeight="1" spans="1:5">
      <c r="A17" s="4">
        <v>14</v>
      </c>
      <c r="B17" s="5" t="s">
        <v>35</v>
      </c>
      <c r="C17" s="6" t="s">
        <v>38</v>
      </c>
      <c r="D17" s="7">
        <v>5</v>
      </c>
      <c r="E17" s="8" t="s">
        <v>39</v>
      </c>
    </row>
    <row r="19" ht="15.75" spans="1:5">
      <c r="A19" s="9" t="s">
        <v>40</v>
      </c>
    </row>
    <row r="20" ht="15.75" spans="1:5">
      <c r="A20" s="3" t="s">
        <v>41</v>
      </c>
      <c r="B20" s="3" t="s">
        <v>42</v>
      </c>
      <c r="C20" s="3" t="s">
        <v>43</v>
      </c>
      <c r="D20" s="3" t="s">
        <v>44</v>
      </c>
      <c r="E20" s="3" t="s">
        <v>45</v>
      </c>
    </row>
    <row r="21" ht="47.25" spans="1:5">
      <c r="A21" s="5" t="s">
        <v>7</v>
      </c>
      <c r="B21" s="4" t="s">
        <v>46</v>
      </c>
      <c r="C21" s="10">
        <f>AVERAGE(D4:D6)</f>
        <v>1</v>
      </c>
      <c r="D21" s="11">
        <f>C21*0.25*20</f>
        <v>5</v>
      </c>
      <c r="E21" s="4" t="str">
        <f>IF(C21="","待填写",IF(C21&lt;=2,"状态良好",IF(C21&lt;=3,"轻度不满",IF(C21&lt;=4,"中度问题","严重预警"))))</f>
        <v>状态良好</v>
      </c>
    </row>
    <row r="22" ht="47.25" spans="1:5">
      <c r="A22" s="5" t="s">
        <v>14</v>
      </c>
      <c r="B22" s="4" t="s">
        <v>46</v>
      </c>
      <c r="C22" s="10">
        <f>AVERAGE(D7:D9)</f>
        <v>4.66666666666667</v>
      </c>
      <c r="D22" s="11">
        <f>C22*0.25*20</f>
        <v>23.3333333333333</v>
      </c>
      <c r="E22" s="4" t="str">
        <f>IF(C22="","待填写",IF(C22&lt;=2,"状态良好",IF(C22&lt;=3,"轻度不满",IF(C22&lt;=4,"中度问题","严重预警"))))</f>
        <v>严重预警</v>
      </c>
    </row>
    <row r="23" ht="47.25" spans="1:5">
      <c r="A23" s="5" t="s">
        <v>21</v>
      </c>
      <c r="B23" s="4" t="s">
        <v>47</v>
      </c>
      <c r="C23" s="10">
        <f>AVERAGE(D10:D12)</f>
        <v>3.66666666666667</v>
      </c>
      <c r="D23" s="11">
        <f>C23*0.2*20</f>
        <v>14.6666666666667</v>
      </c>
      <c r="E23" s="4" t="str">
        <f>IF(C23="","待填写",IF(C23&lt;=2,"状态良好",IF(C23&lt;=3,"轻度不满",IF(C23&lt;=4,"中度问题","严重预警"))))</f>
        <v>中度问题</v>
      </c>
    </row>
    <row r="24" ht="47.25" spans="1:5">
      <c r="A24" s="5" t="s">
        <v>28</v>
      </c>
      <c r="B24" s="4" t="s">
        <v>48</v>
      </c>
      <c r="C24" s="10">
        <f>AVERAGE(D13:D15)</f>
        <v>4</v>
      </c>
      <c r="D24" s="11">
        <f>C24*0.15*20</f>
        <v>12</v>
      </c>
      <c r="E24" s="4" t="str">
        <f>IF(C24="","待填写",IF(C24&lt;=2,"状态良好",IF(C24&lt;=3,"轻度不满",IF(C24&lt;=4,"中度问题","严重预警"))))</f>
        <v>中度问题</v>
      </c>
    </row>
    <row r="25" ht="47.25" spans="1:5">
      <c r="A25" s="5" t="s">
        <v>35</v>
      </c>
      <c r="B25" s="4" t="s">
        <v>48</v>
      </c>
      <c r="C25" s="10">
        <f>AVERAGE(D16:D17)</f>
        <v>4</v>
      </c>
      <c r="D25" s="11">
        <f>C25*0.15*20</f>
        <v>12</v>
      </c>
      <c r="E25" s="4" t="str">
        <f>IF(C25="","待填写",IF(C25&lt;=2,"状态良好",IF(C25&lt;=3,"轻度不满",IF(C25&lt;=4,"中度问题","严重预警"))))</f>
        <v>中度问题</v>
      </c>
    </row>
    <row r="27" ht="36" customHeight="1" spans="1:5">
      <c r="A27" s="12" t="s">
        <v>49</v>
      </c>
      <c r="C27" s="13">
        <f>SUM(D21:D25)</f>
        <v>67</v>
      </c>
      <c r="D27" s="14" t="str">
        <f>IF(C27="","请先填写评分",IF(C27&lt;=40,"暂不建议离职，当前状态尚可",IF(C27&lt;=60,"有不满但可观察，先尝试内部解决",IF(C27&lt;=80,"建议开始看机会，做好离职准备","建议尽快离职，当前环境伤害大于收益"))))</f>
        <v>建议开始看机会，做好离职准备</v>
      </c>
    </row>
    <row r="29" ht="15.75" spans="1:5">
      <c r="A29" s="15" t="s">
        <v>50</v>
      </c>
    </row>
    <row r="30" ht="28" customHeight="1" spans="1:5">
      <c r="A30" s="16" t="s">
        <v>51</v>
      </c>
      <c r="B30" s="17" t="s">
        <v>52</v>
      </c>
      <c r="D30" s="18" t="s">
        <v>53</v>
      </c>
    </row>
    <row r="31" ht="28" customHeight="1" spans="1:5">
      <c r="A31" s="16" t="s">
        <v>54</v>
      </c>
      <c r="B31" s="17" t="s">
        <v>55</v>
      </c>
      <c r="D31" s="18" t="s">
        <v>56</v>
      </c>
    </row>
    <row r="32" ht="28" customHeight="1" spans="1:5">
      <c r="A32" s="16" t="s">
        <v>57</v>
      </c>
      <c r="B32" s="17" t="s">
        <v>58</v>
      </c>
      <c r="D32" s="18" t="s">
        <v>59</v>
      </c>
    </row>
    <row r="33" ht="28" customHeight="1" spans="1:4">
      <c r="A33" s="16" t="s">
        <v>60</v>
      </c>
      <c r="B33" s="17" t="s">
        <v>61</v>
      </c>
      <c r="D33" s="18" t="s">
        <v>62</v>
      </c>
    </row>
  </sheetData>
  <mergeCells count="14">
    <mergeCell ref="A1:E1"/>
    <mergeCell ref="A2:E2"/>
    <mergeCell ref="A19:E19"/>
    <mergeCell ref="A27:B27"/>
    <mergeCell ref="D27:E27"/>
    <mergeCell ref="A29:E29"/>
    <mergeCell ref="B30:C30"/>
    <mergeCell ref="D30:E30"/>
    <mergeCell ref="B31:C31"/>
    <mergeCell ref="D31:E31"/>
    <mergeCell ref="B32:C32"/>
    <mergeCell ref="D32:E32"/>
    <mergeCell ref="B33:C33"/>
    <mergeCell ref="D33:E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离职决策评估表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桃</cp:lastModifiedBy>
  <dcterms:created xsi:type="dcterms:W3CDTF">2026-08-17T02:31:00Z</dcterms:created>
  <dcterms:modified xsi:type="dcterms:W3CDTF">2026-08-17T02:34:51Z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EFCD9861DF4345F690CF9AC3C851F0E7_12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